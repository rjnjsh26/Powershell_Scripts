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  <sheet name="PivotTable" sheetId="3" r:id="rId3"/>
    <sheet name="Lists" sheetId="4" state="hidden" r:id="rId4"/>
  </sheets>
  <definedNames>
    <definedName name="_xlnm._FilterDatabase" localSheetId="0" hidden="1">Data!$A$1:$G$11</definedName>
    <definedName name="_xlnm._FilterDatabase" localSheetId="2" hidden="1">PivotTable!$A$1:$C$6</definedName>
  </definedNames>
  <calcPr calcId="124519" fullCalcOnLoad="1"/>
</workbook>
</file>

<file path=xl/sharedStrings.xml><?xml version="1.0" encoding="utf-8"?>
<sst xmlns="http://schemas.openxmlformats.org/spreadsheetml/2006/main" count="48" uniqueCount="32">
  <si>
    <t>ID</t>
  </si>
  <si>
    <t>Name</t>
  </si>
  <si>
    <t>Department</t>
  </si>
  <si>
    <t>Salary</t>
  </si>
  <si>
    <t>Start Date</t>
  </si>
  <si>
    <t>Bonus</t>
  </si>
  <si>
    <t>Total Compensation</t>
  </si>
  <si>
    <t>John Smith</t>
  </si>
  <si>
    <t>IT</t>
  </si>
  <si>
    <t>Sarah Johnson</t>
  </si>
  <si>
    <t>HR</t>
  </si>
  <si>
    <t>Mike Brown</t>
  </si>
  <si>
    <t>Finance</t>
  </si>
  <si>
    <t>Emily Davis</t>
  </si>
  <si>
    <t>Lisa Wilson</t>
  </si>
  <si>
    <t>Marketing</t>
  </si>
  <si>
    <t>David Lee</t>
  </si>
  <si>
    <t>Operations</t>
  </si>
  <si>
    <t>Jennifer Garcia</t>
  </si>
  <si>
    <t>Robert Martinez</t>
  </si>
  <si>
    <t>Amanda Taylor</t>
  </si>
  <si>
    <t>Chris Anderson</t>
  </si>
  <si>
    <t>Total Employees</t>
  </si>
  <si>
    <t>Average Salary</t>
  </si>
  <si>
    <t>Maximum Salary</t>
  </si>
  <si>
    <t>Minimum Salary</t>
  </si>
  <si>
    <t>Total Payroll</t>
  </si>
  <si>
    <t>Count of Employees</t>
  </si>
  <si>
    <t>Sum of Salary</t>
  </si>
  <si>
    <t>Grand Total</t>
  </si>
  <si>
    <t>Note:</t>
  </si>
  <si>
    <t>This worksheet summarizes employee counts and salary totals by department.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</si>
</sst>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/>
    <xf numFmtId="1" fontId="0" fillId="0" borderId="1" xfId="0" applyNumberFormat="1" applyBorder="1"/>
    <xf numFmtId="0" fontId="2" fillId="0" borderId="0" xfId="0" applyFont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Salary by Employee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Salary by Employee</c:v>
          </c:tx>
          <c:spPr>
            <a:solidFill>
              <a:srgbClr val="5B9BD5"/>
            </a:solidFill>
            <a:ln>
              <a:solidFill>
                <a:srgbClr val="1F4E78"/>
              </a:solidFill>
            </a:ln>
          </c:spPr>
          <c:cat>
            <c:strRef>
              <c:f>Data!$B$2:$B$11</c:f>
              <c:strCache>
                <c:ptCount val="10"/>
                <c:pt idx="0">
                  <c:v>John Smith</c:v>
                </c:pt>
                <c:pt idx="1">
                  <c:v>Sarah Johnson</c:v>
                </c:pt>
                <c:pt idx="2">
                  <c:v>Mike Brown</c:v>
                </c:pt>
                <c:pt idx="3">
                  <c:v>Emily Davis</c:v>
                </c:pt>
                <c:pt idx="4">
                  <c:v>Lisa Wilson</c:v>
                </c:pt>
                <c:pt idx="5">
                  <c:v>David Lee</c:v>
                </c:pt>
                <c:pt idx="6">
                  <c:v>Jennifer Garcia</c:v>
                </c:pt>
                <c:pt idx="7">
                  <c:v>Robert Martinez</c:v>
                </c:pt>
                <c:pt idx="8">
                  <c:v>Amanda Taylor</c:v>
                </c:pt>
                <c:pt idx="9">
                  <c:v>Chris Anderson</c:v>
                </c:pt>
              </c:strCache>
            </c:strRef>
          </c:cat>
          <c:val>
            <c:numRef>
              <c:f>Data!$D$2:$D$11</c:f>
              <c:numCache>
                <c:formatCode>General</c:formatCode>
                <c:ptCount val="10"/>
                <c:pt idx="0">
                  <c:v>75000</c:v>
                </c:pt>
                <c:pt idx="1">
                  <c:v>65000</c:v>
                </c:pt>
                <c:pt idx="2">
                  <c:v>85000</c:v>
                </c:pt>
                <c:pt idx="3">
                  <c:v>72000</c:v>
                </c:pt>
                <c:pt idx="4">
                  <c:v>68000</c:v>
                </c:pt>
                <c:pt idx="5">
                  <c:v>71000</c:v>
                </c:pt>
                <c:pt idx="6">
                  <c:v>78000</c:v>
                </c:pt>
                <c:pt idx="7">
                  <c:v>63000</c:v>
                </c:pt>
                <c:pt idx="8">
                  <c:v>82000</c:v>
                </c:pt>
                <c:pt idx="9">
                  <c:v>69000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533400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4" width="15.7109375" customWidth="1"/>
    <col min="5" max="5" width="14.7109375" customWidth="1"/>
    <col min="6" max="7" width="20.7109375" customWidth="1"/>
  </cols>
  <sheetData>
    <row r="1" spans="1:7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3" t="s">
        <v>8</v>
      </c>
      <c r="D2" s="4">
        <v>75000</v>
      </c>
      <c r="E2" s="5">
        <v>43845</v>
      </c>
      <c r="F2" s="4">
        <f>D2*0.1</f>
        <v>0</v>
      </c>
      <c r="G2" s="4">
        <f>D2+F2</f>
        <v>0</v>
      </c>
    </row>
    <row r="3" spans="1:7">
      <c r="A3" s="2">
        <v>2</v>
      </c>
      <c r="B3" s="3" t="s">
        <v>9</v>
      </c>
      <c r="C3" s="3" t="s">
        <v>10</v>
      </c>
      <c r="D3" s="4">
        <v>65000</v>
      </c>
      <c r="E3" s="5">
        <v>43546</v>
      </c>
      <c r="F3" s="4">
        <f>D3*0.1</f>
        <v>0</v>
      </c>
      <c r="G3" s="4">
        <f>D3+F3</f>
        <v>0</v>
      </c>
    </row>
    <row r="4" spans="1:7">
      <c r="A4" s="2">
        <v>3</v>
      </c>
      <c r="B4" s="3" t="s">
        <v>11</v>
      </c>
      <c r="C4" s="3" t="s">
        <v>12</v>
      </c>
      <c r="D4" s="4">
        <v>85000</v>
      </c>
      <c r="E4" s="5">
        <v>43291</v>
      </c>
      <c r="F4" s="4">
        <f>D4*0.1</f>
        <v>0</v>
      </c>
      <c r="G4" s="4">
        <f>D4+F4</f>
        <v>0</v>
      </c>
    </row>
    <row r="5" spans="1:7">
      <c r="A5" s="2">
        <v>4</v>
      </c>
      <c r="B5" s="3" t="s">
        <v>13</v>
      </c>
      <c r="C5" s="3" t="s">
        <v>8</v>
      </c>
      <c r="D5" s="4">
        <v>72000</v>
      </c>
      <c r="E5" s="5">
        <v>44505</v>
      </c>
      <c r="F5" s="4">
        <f>D5*0.1</f>
        <v>0</v>
      </c>
      <c r="G5" s="4">
        <f>D5+F5</f>
        <v>0</v>
      </c>
    </row>
    <row r="6" spans="1:7">
      <c r="A6" s="2">
        <v>5</v>
      </c>
      <c r="B6" s="3" t="s">
        <v>14</v>
      </c>
      <c r="C6" s="3" t="s">
        <v>15</v>
      </c>
      <c r="D6" s="4">
        <v>68000</v>
      </c>
      <c r="E6" s="5">
        <v>43889</v>
      </c>
      <c r="F6" s="4">
        <f>D6*0.1</f>
        <v>0</v>
      </c>
      <c r="G6" s="4">
        <f>D6+F6</f>
        <v>0</v>
      </c>
    </row>
    <row r="7" spans="1:7">
      <c r="A7" s="2">
        <v>6</v>
      </c>
      <c r="B7" s="3" t="s">
        <v>16</v>
      </c>
      <c r="C7" s="3" t="s">
        <v>17</v>
      </c>
      <c r="D7" s="4">
        <v>71000</v>
      </c>
      <c r="E7" s="5">
        <v>43722</v>
      </c>
      <c r="F7" s="4">
        <f>D7*0.1</f>
        <v>0</v>
      </c>
      <c r="G7" s="4">
        <f>D7+F7</f>
        <v>0</v>
      </c>
    </row>
    <row r="8" spans="1:7">
      <c r="A8" s="2">
        <v>7</v>
      </c>
      <c r="B8" s="3" t="s">
        <v>18</v>
      </c>
      <c r="C8" s="3" t="s">
        <v>8</v>
      </c>
      <c r="D8" s="4">
        <v>78000</v>
      </c>
      <c r="E8" s="5">
        <v>43193</v>
      </c>
      <c r="F8" s="4">
        <f>D8*0.1</f>
        <v>0</v>
      </c>
      <c r="G8" s="4">
        <f>D8+F8</f>
        <v>0</v>
      </c>
    </row>
    <row r="9" spans="1:7">
      <c r="A9" s="2">
        <v>8</v>
      </c>
      <c r="B9" s="3" t="s">
        <v>19</v>
      </c>
      <c r="C9" s="3" t="s">
        <v>10</v>
      </c>
      <c r="D9" s="4">
        <v>63000</v>
      </c>
      <c r="E9" s="5">
        <v>44185</v>
      </c>
      <c r="F9" s="4">
        <f>D9*0.1</f>
        <v>0</v>
      </c>
      <c r="G9" s="4">
        <f>D9+F9</f>
        <v>0</v>
      </c>
    </row>
    <row r="10" spans="1:7">
      <c r="A10" s="2">
        <v>9</v>
      </c>
      <c r="B10" s="3" t="s">
        <v>20</v>
      </c>
      <c r="C10" s="3" t="s">
        <v>12</v>
      </c>
      <c r="D10" s="4">
        <v>82000</v>
      </c>
      <c r="E10" s="5">
        <v>43633</v>
      </c>
      <c r="F10" s="4">
        <f>D10*0.1</f>
        <v>0</v>
      </c>
      <c r="G10" s="4">
        <f>D10+F10</f>
        <v>0</v>
      </c>
    </row>
    <row r="11" spans="1:7">
      <c r="A11" s="2">
        <v>10</v>
      </c>
      <c r="B11" s="3" t="s">
        <v>21</v>
      </c>
      <c r="C11" s="3" t="s">
        <v>15</v>
      </c>
      <c r="D11" s="4">
        <v>69000</v>
      </c>
      <c r="E11" s="5">
        <v>44417</v>
      </c>
      <c r="F11" s="4">
        <f>D11*0.1</f>
        <v>0</v>
      </c>
      <c r="G11" s="4">
        <f>D11+F11</f>
        <v>0</v>
      </c>
    </row>
    <row r="14" spans="1:7">
      <c r="A14" s="6" t="s">
        <v>22</v>
      </c>
      <c r="B14" s="7">
        <f>COUNTA(B2:B11)</f>
        <v>0</v>
      </c>
    </row>
    <row r="15" spans="1:7">
      <c r="A15" s="6" t="s">
        <v>23</v>
      </c>
      <c r="B15" s="4">
        <f>AVERAGE(D2:D11)</f>
        <v>0</v>
      </c>
    </row>
    <row r="16" spans="1:7">
      <c r="A16" s="6" t="s">
        <v>24</v>
      </c>
      <c r="B16" s="4">
        <f>MAX(D2:D11)</f>
        <v>0</v>
      </c>
    </row>
    <row r="17" spans="1:2">
      <c r="A17" s="6" t="s">
        <v>25</v>
      </c>
      <c r="B17" s="4">
        <f>MIN(D2:D11)</f>
        <v>0</v>
      </c>
    </row>
    <row r="18" spans="1:2">
      <c r="A18" s="6" t="s">
        <v>26</v>
      </c>
      <c r="B18" s="4">
        <f>SUM(D2:D11)</f>
        <v>0</v>
      </c>
    </row>
  </sheetData>
  <autoFilter ref="A1:G11"/>
  <conditionalFormatting sqref="D2:D11">
    <cfRule type="dataBar" priority="1">
      <dataBar>
        <cfvo type="min" val="0"/>
        <cfvo type="max" val="0"/>
        <color rgb="FF5B9BD5"/>
      </dataBar>
    </cfRule>
  </conditionalFormatting>
  <dataValidations count="1">
    <dataValidation type="list" allowBlank="1" showInputMessage="1" showErrorMessage="1" sqref="C2:C11">
      <formula1>Lists!$A$1:$A$5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0" width="12.71093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8.7109375" customWidth="1"/>
    <col min="2" max="3" width="22.7109375" customWidth="1"/>
  </cols>
  <sheetData>
    <row r="1" spans="1:6">
      <c r="A1" s="1" t="s">
        <v>2</v>
      </c>
      <c r="B1" s="1" t="s">
        <v>27</v>
      </c>
      <c r="C1" s="1" t="s">
        <v>28</v>
      </c>
    </row>
    <row r="2" spans="1:6">
      <c r="A2" s="3" t="s">
        <v>12</v>
      </c>
      <c r="B2" s="2">
        <v>2</v>
      </c>
      <c r="C2" s="4">
        <v>167000</v>
      </c>
      <c r="E2" s="8" t="s">
        <v>30</v>
      </c>
      <c r="F2" t="s">
        <v>31</v>
      </c>
    </row>
    <row r="3" spans="1:6">
      <c r="A3" s="3" t="s">
        <v>10</v>
      </c>
      <c r="B3" s="2">
        <v>2</v>
      </c>
      <c r="C3" s="4">
        <v>128000</v>
      </c>
    </row>
    <row r="4" spans="1:6">
      <c r="A4" s="3" t="s">
        <v>8</v>
      </c>
      <c r="B4" s="2">
        <v>3</v>
      </c>
      <c r="C4" s="4">
        <v>225000</v>
      </c>
    </row>
    <row r="5" spans="1:6">
      <c r="A5" s="3" t="s">
        <v>15</v>
      </c>
      <c r="B5" s="2">
        <v>2</v>
      </c>
      <c r="C5" s="4">
        <v>137000</v>
      </c>
    </row>
    <row r="6" spans="1:6">
      <c r="A6" s="3" t="s">
        <v>17</v>
      </c>
      <c r="B6" s="2">
        <v>1</v>
      </c>
      <c r="C6" s="4">
        <v>71000</v>
      </c>
    </row>
    <row r="7" spans="1:6">
      <c r="A7" s="1" t="s">
        <v>29</v>
      </c>
      <c r="B7" s="1">
        <f>SUM(B2:B6)</f>
        <v>0</v>
      </c>
      <c r="C7" s="9">
        <f>SUM(C2:C6)</f>
        <v>0</v>
      </c>
    </row>
  </sheetData>
  <autoFilter ref="A1:C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8</v>
      </c>
    </row>
    <row r="2" spans="1:1">
      <c r="A2" t="s">
        <v>10</v>
      </c>
    </row>
    <row r="3" spans="1:1">
      <c r="A3" t="s">
        <v>12</v>
      </c>
    </row>
    <row r="4" spans="1:1">
      <c r="A4" t="s">
        <v>15</v>
      </c>
    </row>
    <row r="5" spans="1:1">
      <c r="A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Charts</vt:lpstr>
      <vt:lpstr>PivotTable</vt:lpstr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2026-10-05T20:09:25Z</dcterms:created>
  <dcterms:modified xsi:type="dcterms:W3CDTF">2026-10-05T20:09:25Z</dcterms:modified>
</cp:coreProperties>
</file>